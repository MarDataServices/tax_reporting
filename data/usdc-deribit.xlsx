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Desktop\azure-projects\"/>
    </mc:Choice>
  </mc:AlternateContent>
  <xr:revisionPtr revIDLastSave="0" documentId="13_ncr:9_{847978B8-52BB-491E-85EE-22958FFEF249}" xr6:coauthVersionLast="47" xr6:coauthVersionMax="47" xr10:uidLastSave="{00000000-0000-0000-0000-000000000000}"/>
  <bookViews>
    <workbookView xWindow="-120" yWindow="-120" windowWidth="29040" windowHeight="15720" xr2:uid="{98526837-788E-4274-A536-05D25C8F2C63}"/>
  </bookViews>
  <sheets>
    <sheet name="usdc-derib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1" l="1"/>
  <c r="R10" i="1"/>
  <c r="R9" i="1"/>
  <c r="R8" i="1"/>
  <c r="R7" i="1"/>
  <c r="R6" i="1"/>
  <c r="R5" i="1"/>
  <c r="R4" i="1"/>
  <c r="R3" i="1"/>
  <c r="R2" i="1"/>
  <c r="R13" i="1"/>
  <c r="R14" i="1"/>
  <c r="R15" i="1"/>
  <c r="R16" i="1"/>
  <c r="R17" i="1"/>
  <c r="R18" i="1"/>
  <c r="R12" i="1"/>
</calcChain>
</file>

<file path=xl/sharedStrings.xml><?xml version="1.0" encoding="utf-8"?>
<sst xmlns="http://schemas.openxmlformats.org/spreadsheetml/2006/main" count="99" uniqueCount="51">
  <si>
    <t>ID</t>
  </si>
  <si>
    <t>Date</t>
  </si>
  <si>
    <t>Instrument</t>
  </si>
  <si>
    <t>Type</t>
  </si>
  <si>
    <t>Side</t>
  </si>
  <si>
    <t>Amount</t>
  </si>
  <si>
    <t>Base Amount</t>
  </si>
  <si>
    <t>Position</t>
  </si>
  <si>
    <t>Price</t>
  </si>
  <si>
    <t>Mark Price</t>
  </si>
  <si>
    <t>Index Price</t>
  </si>
  <si>
    <t>Settlement Price</t>
  </si>
  <si>
    <t>Cash Flow</t>
  </si>
  <si>
    <t>Funding</t>
  </si>
  <si>
    <t>Fee Rate</t>
  </si>
  <si>
    <t>Fee Charged</t>
  </si>
  <si>
    <t>Fee Balance</t>
  </si>
  <si>
    <t>Change</t>
  </si>
  <si>
    <t>Balance</t>
  </si>
  <si>
    <t>Equity</t>
  </si>
  <si>
    <t>Trade ID</t>
  </si>
  <si>
    <t>Order ID</t>
  </si>
  <si>
    <t>Note</t>
  </si>
  <si>
    <t>options_settlement_summary</t>
  </si>
  <si>
    <t>-</t>
  </si>
  <si>
    <t>null</t>
  </si>
  <si>
    <t>SOL_USDC-16MAY25-136-P</t>
  </si>
  <si>
    <t>delivery</t>
  </si>
  <si>
    <t>close buy</t>
  </si>
  <si>
    <t>ETH_USDC</t>
  </si>
  <si>
    <t>trade</t>
  </si>
  <si>
    <t>spot sell</t>
  </si>
  <si>
    <t>ETH_USDC-8549462</t>
  </si>
  <si>
    <t>ETH_USDC-3534468335</t>
  </si>
  <si>
    <t>SOL_USDC-16MAY25-164-C</t>
  </si>
  <si>
    <t>USDC-27949812</t>
  </si>
  <si>
    <t>USDC-33739595562</t>
  </si>
  <si>
    <t>open sell</t>
  </si>
  <si>
    <t>USDC-27940494</t>
  </si>
  <si>
    <t>USDC-33712631352</t>
  </si>
  <si>
    <t>SOL_USDC-16MAY25-132-P</t>
  </si>
  <si>
    <t>USDC-27940368</t>
  </si>
  <si>
    <t>USDC-33712982095</t>
  </si>
  <si>
    <t>USDC-27924871</t>
  </si>
  <si>
    <t>USDC-33542743013</t>
  </si>
  <si>
    <t>USDC-27905288</t>
  </si>
  <si>
    <t>USDC-33523377204</t>
  </si>
  <si>
    <t>spot buy</t>
  </si>
  <si>
    <t>ETH_USDC-8436524</t>
  </si>
  <si>
    <t>ETH_USDC-3513380162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</si>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</sst>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1C29-C3F6-420C-9C08-E6D1F366EA9D}">
  <dimension ref="A1:X18"/>
  <sheetViews>
    <sheetView tabSelected="1" workbookViewId="0">
      <selection activeCell="L18" sqref="L18"/>
    </sheetView>
  </sheetViews>
  <sheetFormatPr defaultRowHeight="15" x14ac:dyDescent="0.25"/>
  <cols>
    <col min="1" max="1" width="9" bestFit="1" customWidth="1"/>
    <col min="2" max="2" width="13.5703125" style="1" bestFit="1" customWidth="1"/>
    <col min="3" max="3" width="24.28515625" bestFit="1" customWidth="1"/>
    <col min="4" max="4" width="27.42578125" bestFit="1" customWidth="1"/>
    <col min="5" max="5" width="9.28515625" bestFit="1" customWidth="1"/>
    <col min="6" max="6" width="7.85546875" bestFit="1" customWidth="1"/>
    <col min="7" max="7" width="12.5703125" bestFit="1" customWidth="1"/>
    <col min="8" max="8" width="8.28515625" bestFit="1" customWidth="1"/>
    <col min="9" max="9" width="7" bestFit="1" customWidth="1"/>
    <col min="10" max="10" width="12" bestFit="1" customWidth="1"/>
    <col min="11" max="11" width="10.5703125" bestFit="1" customWidth="1"/>
    <col min="12" max="12" width="15.140625" bestFit="1" customWidth="1"/>
    <col min="13" max="13" width="10" bestFit="1" customWidth="1"/>
    <col min="14" max="14" width="8.140625" bestFit="1" customWidth="1"/>
    <col min="15" max="15" width="8.28515625" bestFit="1" customWidth="1"/>
    <col min="16" max="16" width="11.7109375" bestFit="1" customWidth="1"/>
    <col min="17" max="17" width="11.5703125" bestFit="1" customWidth="1"/>
    <col min="18" max="19" width="11.7109375" bestFit="1" customWidth="1"/>
    <col min="20" max="21" width="12" bestFit="1" customWidth="1"/>
    <col min="22" max="22" width="17.85546875" bestFit="1" customWidth="1"/>
    <col min="23" max="23" width="20.85546875" bestFit="1" customWidth="1"/>
    <col min="24" max="24" width="5.140625" bestFit="1" customWidth="1"/>
  </cols>
  <sheetData>
    <row r="1" spans="1:24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50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>
        <v>72483329</v>
      </c>
      <c r="B2" s="1">
        <v>45793.333333333336</v>
      </c>
      <c r="D2" t="s">
        <v>23</v>
      </c>
      <c r="E2" t="s">
        <v>24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25</v>
      </c>
      <c r="O2" t="s">
        <v>24</v>
      </c>
      <c r="P2">
        <v>0</v>
      </c>
      <c r="Q2">
        <v>0</v>
      </c>
      <c r="R2">
        <f t="shared" ref="R2:R11" si="0">SUM(M2-P2)</f>
        <v>0</v>
      </c>
      <c r="S2">
        <v>0</v>
      </c>
      <c r="T2">
        <v>35.612056299999999</v>
      </c>
      <c r="U2">
        <v>35.612056299999999</v>
      </c>
    </row>
    <row r="3" spans="1:24" x14ac:dyDescent="0.25">
      <c r="A3">
        <v>72481171</v>
      </c>
      <c r="B3" s="1">
        <v>45793.333333333336</v>
      </c>
      <c r="C3" t="s">
        <v>26</v>
      </c>
      <c r="D3" t="s">
        <v>27</v>
      </c>
      <c r="E3" t="s">
        <v>28</v>
      </c>
      <c r="F3">
        <v>10</v>
      </c>
      <c r="H3">
        <v>0</v>
      </c>
      <c r="I3">
        <v>0</v>
      </c>
      <c r="J3">
        <v>0</v>
      </c>
      <c r="K3">
        <v>172.1917</v>
      </c>
      <c r="L3">
        <v>172.4117</v>
      </c>
      <c r="M3">
        <v>0</v>
      </c>
      <c r="N3" t="s">
        <v>25</v>
      </c>
      <c r="O3">
        <v>0</v>
      </c>
      <c r="P3">
        <v>0</v>
      </c>
      <c r="Q3">
        <v>0</v>
      </c>
      <c r="R3">
        <f t="shared" si="0"/>
        <v>0</v>
      </c>
      <c r="S3">
        <v>0</v>
      </c>
      <c r="T3">
        <v>35.612056299999999</v>
      </c>
      <c r="U3">
        <v>35.612056299999999</v>
      </c>
    </row>
    <row r="4" spans="1:24" x14ac:dyDescent="0.25">
      <c r="A4">
        <v>72303110</v>
      </c>
      <c r="B4" s="1">
        <v>45792.333333333336</v>
      </c>
      <c r="D4" t="s">
        <v>23</v>
      </c>
      <c r="E4" t="s">
        <v>24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25</v>
      </c>
      <c r="O4" t="s">
        <v>24</v>
      </c>
      <c r="P4">
        <v>0</v>
      </c>
      <c r="Q4">
        <v>0</v>
      </c>
      <c r="R4">
        <f t="shared" si="0"/>
        <v>0</v>
      </c>
      <c r="S4">
        <v>0</v>
      </c>
      <c r="T4">
        <v>35.612056299999999</v>
      </c>
      <c r="U4">
        <v>35.58707751</v>
      </c>
    </row>
    <row r="5" spans="1:24" x14ac:dyDescent="0.25">
      <c r="A5">
        <v>72164979</v>
      </c>
      <c r="B5" s="1">
        <v>45791.333333333336</v>
      </c>
      <c r="D5" t="s">
        <v>23</v>
      </c>
      <c r="E5" t="s">
        <v>24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25</v>
      </c>
      <c r="O5" t="s">
        <v>24</v>
      </c>
      <c r="P5">
        <v>0</v>
      </c>
      <c r="Q5">
        <v>0</v>
      </c>
      <c r="R5">
        <f t="shared" si="0"/>
        <v>0</v>
      </c>
      <c r="S5">
        <v>0</v>
      </c>
      <c r="T5">
        <v>35.612056299999999</v>
      </c>
      <c r="U5">
        <v>35.511790609999998</v>
      </c>
    </row>
    <row r="6" spans="1:24" x14ac:dyDescent="0.25">
      <c r="A6">
        <v>72003314</v>
      </c>
      <c r="B6" s="1">
        <v>45790.333333333336</v>
      </c>
      <c r="D6" t="s">
        <v>23</v>
      </c>
      <c r="E6" t="s">
        <v>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25</v>
      </c>
      <c r="O6" t="s">
        <v>24</v>
      </c>
      <c r="P6">
        <v>0</v>
      </c>
      <c r="Q6">
        <v>0</v>
      </c>
      <c r="R6">
        <f t="shared" si="0"/>
        <v>0</v>
      </c>
      <c r="S6">
        <v>0</v>
      </c>
      <c r="T6">
        <v>35.612056299999999</v>
      </c>
      <c r="U6">
        <v>33.625968270000001</v>
      </c>
    </row>
    <row r="7" spans="1:24" x14ac:dyDescent="0.25">
      <c r="A7">
        <v>71818489</v>
      </c>
      <c r="B7" s="1">
        <v>45789.333333333336</v>
      </c>
      <c r="D7" t="s">
        <v>23</v>
      </c>
      <c r="E7" t="s">
        <v>24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25</v>
      </c>
      <c r="O7" t="s">
        <v>24</v>
      </c>
      <c r="P7">
        <v>0</v>
      </c>
      <c r="Q7">
        <v>0</v>
      </c>
      <c r="R7">
        <f t="shared" si="0"/>
        <v>0</v>
      </c>
      <c r="S7">
        <v>0</v>
      </c>
      <c r="T7">
        <v>35.612056299999999</v>
      </c>
      <c r="U7">
        <v>33.864853279999998</v>
      </c>
    </row>
    <row r="8" spans="1:24" x14ac:dyDescent="0.25">
      <c r="A8">
        <v>71672338</v>
      </c>
      <c r="B8" s="1">
        <v>45788.333333333336</v>
      </c>
      <c r="D8" t="s">
        <v>23</v>
      </c>
      <c r="E8" t="s">
        <v>24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25</v>
      </c>
      <c r="O8" t="s">
        <v>24</v>
      </c>
      <c r="P8">
        <v>0</v>
      </c>
      <c r="Q8">
        <v>0</v>
      </c>
      <c r="R8">
        <f t="shared" si="0"/>
        <v>0</v>
      </c>
      <c r="S8">
        <v>0</v>
      </c>
      <c r="T8">
        <v>35.612056299999999</v>
      </c>
      <c r="U8">
        <v>32.645444580000003</v>
      </c>
    </row>
    <row r="9" spans="1:24" x14ac:dyDescent="0.25">
      <c r="A9">
        <v>71462807</v>
      </c>
      <c r="B9" s="1">
        <v>45787.333333333336</v>
      </c>
      <c r="D9" t="s">
        <v>23</v>
      </c>
      <c r="E9" t="s">
        <v>24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25</v>
      </c>
      <c r="O9" t="s">
        <v>24</v>
      </c>
      <c r="P9">
        <v>0</v>
      </c>
      <c r="Q9">
        <v>0</v>
      </c>
      <c r="R9">
        <f t="shared" si="0"/>
        <v>0</v>
      </c>
      <c r="S9">
        <v>0</v>
      </c>
      <c r="T9">
        <v>35.612056299999999</v>
      </c>
      <c r="U9">
        <v>32.29532253</v>
      </c>
    </row>
    <row r="10" spans="1:24" x14ac:dyDescent="0.25">
      <c r="A10">
        <v>71292055</v>
      </c>
      <c r="B10" s="1">
        <v>45786.333333333336</v>
      </c>
      <c r="D10" t="s">
        <v>23</v>
      </c>
      <c r="E10" t="s">
        <v>24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25</v>
      </c>
      <c r="O10" t="s">
        <v>24</v>
      </c>
      <c r="P10">
        <v>0</v>
      </c>
      <c r="Q10">
        <v>0</v>
      </c>
      <c r="R10">
        <f t="shared" si="0"/>
        <v>0</v>
      </c>
      <c r="S10">
        <v>0</v>
      </c>
      <c r="T10">
        <v>35.612056299999999</v>
      </c>
      <c r="U10">
        <v>30.919404230000001</v>
      </c>
    </row>
    <row r="11" spans="1:24" x14ac:dyDescent="0.25">
      <c r="A11">
        <v>71264598</v>
      </c>
      <c r="B11" s="1">
        <v>45786.242592592593</v>
      </c>
      <c r="C11" t="s">
        <v>29</v>
      </c>
      <c r="D11" t="s">
        <v>30</v>
      </c>
      <c r="E11" t="s">
        <v>31</v>
      </c>
      <c r="F11">
        <v>663.51</v>
      </c>
      <c r="H11">
        <v>0</v>
      </c>
      <c r="I11">
        <v>2211.6999999999998</v>
      </c>
      <c r="J11">
        <v>2211.5635000000002</v>
      </c>
      <c r="K11">
        <v>2211.5635000000002</v>
      </c>
      <c r="L11">
        <v>0</v>
      </c>
      <c r="M11">
        <v>-663.51</v>
      </c>
      <c r="N11">
        <v>0</v>
      </c>
      <c r="O11">
        <v>0</v>
      </c>
      <c r="P11">
        <v>0</v>
      </c>
      <c r="Q11">
        <v>0</v>
      </c>
      <c r="R11">
        <f t="shared" si="0"/>
        <v>-663.51</v>
      </c>
      <c r="S11">
        <v>-663.51</v>
      </c>
      <c r="T11">
        <v>35.612056299999999</v>
      </c>
      <c r="U11">
        <v>30.705634440000001</v>
      </c>
      <c r="V11" t="s">
        <v>32</v>
      </c>
      <c r="W11" t="s">
        <v>33</v>
      </c>
    </row>
    <row r="12" spans="1:24" x14ac:dyDescent="0.25">
      <c r="A12">
        <v>71168954</v>
      </c>
      <c r="B12" s="1">
        <v>45785.655462962961</v>
      </c>
      <c r="C12" t="s">
        <v>34</v>
      </c>
      <c r="D12" t="s">
        <v>30</v>
      </c>
      <c r="E12" t="s">
        <v>28</v>
      </c>
      <c r="F12">
        <v>10</v>
      </c>
      <c r="H12">
        <v>0</v>
      </c>
      <c r="I12">
        <v>6.6</v>
      </c>
      <c r="J12">
        <v>6.4019044685010797</v>
      </c>
      <c r="K12">
        <v>162.4409</v>
      </c>
      <c r="L12">
        <v>0</v>
      </c>
      <c r="M12">
        <v>-66</v>
      </c>
      <c r="N12">
        <v>0</v>
      </c>
      <c r="O12">
        <v>5.0000000000000001E-4</v>
      </c>
      <c r="P12">
        <v>0.8122045</v>
      </c>
      <c r="Q12">
        <v>0</v>
      </c>
      <c r="R12">
        <f>SUM(M12-P12)</f>
        <v>-66.812204500000007</v>
      </c>
      <c r="S12">
        <v>-66.812204500000007</v>
      </c>
      <c r="T12">
        <v>699.12205630000005</v>
      </c>
      <c r="U12">
        <v>693.67155121999997</v>
      </c>
      <c r="V12" t="s">
        <v>35</v>
      </c>
      <c r="W12" t="s">
        <v>36</v>
      </c>
    </row>
    <row r="13" spans="1:24" x14ac:dyDescent="0.25">
      <c r="A13">
        <v>71132814</v>
      </c>
      <c r="B13" s="1">
        <v>45785.541030092594</v>
      </c>
      <c r="C13" t="s">
        <v>26</v>
      </c>
      <c r="D13" t="s">
        <v>30</v>
      </c>
      <c r="E13" t="s">
        <v>37</v>
      </c>
      <c r="F13">
        <v>10</v>
      </c>
      <c r="H13">
        <v>-1</v>
      </c>
      <c r="I13">
        <v>0.9</v>
      </c>
      <c r="J13">
        <v>0.95719152242827399</v>
      </c>
      <c r="K13">
        <v>154.58340000000001</v>
      </c>
      <c r="L13">
        <v>0</v>
      </c>
      <c r="M13">
        <v>9</v>
      </c>
      <c r="N13">
        <v>0</v>
      </c>
      <c r="O13">
        <v>5.0000000000000001E-4</v>
      </c>
      <c r="P13">
        <v>0.77291699999999997</v>
      </c>
      <c r="Q13">
        <v>0</v>
      </c>
      <c r="R13">
        <f t="shared" ref="R13:R18" si="1">SUM(M13-P13)</f>
        <v>8.2270830000000004</v>
      </c>
      <c r="S13">
        <v>8.2270830000000004</v>
      </c>
      <c r="T13">
        <v>765.93426079999995</v>
      </c>
      <c r="U13">
        <v>726.01063818</v>
      </c>
      <c r="V13" t="s">
        <v>38</v>
      </c>
      <c r="W13" t="s">
        <v>39</v>
      </c>
    </row>
    <row r="14" spans="1:24" x14ac:dyDescent="0.25">
      <c r="A14">
        <v>71132408</v>
      </c>
      <c r="B14" s="1">
        <v>45785.534675925926</v>
      </c>
      <c r="C14" t="s">
        <v>40</v>
      </c>
      <c r="D14" t="s">
        <v>30</v>
      </c>
      <c r="E14" t="s">
        <v>28</v>
      </c>
      <c r="F14">
        <v>10</v>
      </c>
      <c r="H14">
        <v>0</v>
      </c>
      <c r="I14">
        <v>0.8</v>
      </c>
      <c r="J14">
        <v>0.72505890724007305</v>
      </c>
      <c r="K14">
        <v>155.18020000000001</v>
      </c>
      <c r="L14">
        <v>0</v>
      </c>
      <c r="M14">
        <v>-8</v>
      </c>
      <c r="N14">
        <v>0</v>
      </c>
      <c r="O14">
        <v>1E-4</v>
      </c>
      <c r="P14">
        <v>0.15518019999999999</v>
      </c>
      <c r="Q14">
        <v>0</v>
      </c>
      <c r="R14">
        <f t="shared" si="1"/>
        <v>-8.1551802000000002</v>
      </c>
      <c r="S14">
        <v>-8.1551802000000002</v>
      </c>
      <c r="T14">
        <v>757.70717779999995</v>
      </c>
      <c r="U14">
        <v>725.12835513000005</v>
      </c>
      <c r="V14" t="s">
        <v>41</v>
      </c>
      <c r="W14" t="s">
        <v>42</v>
      </c>
    </row>
    <row r="15" spans="1:24" x14ac:dyDescent="0.25">
      <c r="A15">
        <v>71097520</v>
      </c>
      <c r="B15" s="1">
        <v>45785.333333333336</v>
      </c>
      <c r="D15" t="s">
        <v>23</v>
      </c>
      <c r="E15" t="s">
        <v>24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25</v>
      </c>
      <c r="O15" t="s">
        <v>24</v>
      </c>
      <c r="P15">
        <v>0</v>
      </c>
      <c r="Q15">
        <v>0</v>
      </c>
      <c r="R15">
        <f t="shared" si="1"/>
        <v>0</v>
      </c>
      <c r="S15">
        <v>0</v>
      </c>
      <c r="T15">
        <v>765.86235799999997</v>
      </c>
      <c r="U15">
        <v>730.40048490000004</v>
      </c>
    </row>
    <row r="16" spans="1:24" x14ac:dyDescent="0.25">
      <c r="A16">
        <v>71067235</v>
      </c>
      <c r="B16" s="1">
        <v>45785.104386574072</v>
      </c>
      <c r="C16" t="s">
        <v>34</v>
      </c>
      <c r="D16" t="s">
        <v>30</v>
      </c>
      <c r="E16" t="s">
        <v>37</v>
      </c>
      <c r="F16">
        <v>10</v>
      </c>
      <c r="H16">
        <v>-1</v>
      </c>
      <c r="I16">
        <v>1.8</v>
      </c>
      <c r="J16">
        <v>1.8735452474243699</v>
      </c>
      <c r="K16">
        <v>150.01820000000001</v>
      </c>
      <c r="L16">
        <v>0</v>
      </c>
      <c r="M16">
        <v>18</v>
      </c>
      <c r="N16">
        <v>0</v>
      </c>
      <c r="O16">
        <v>1E-4</v>
      </c>
      <c r="P16">
        <v>0.15001819999999999</v>
      </c>
      <c r="Q16">
        <v>0</v>
      </c>
      <c r="R16">
        <f t="shared" si="1"/>
        <v>17.849981799999998</v>
      </c>
      <c r="S16">
        <v>17.849981799999998</v>
      </c>
      <c r="T16">
        <v>765.86235799999997</v>
      </c>
      <c r="U16">
        <v>737.53746559000001</v>
      </c>
      <c r="V16" t="s">
        <v>43</v>
      </c>
      <c r="W16" t="s">
        <v>44</v>
      </c>
    </row>
    <row r="17" spans="1:23" x14ac:dyDescent="0.25">
      <c r="A17">
        <v>70988708</v>
      </c>
      <c r="B17" s="1">
        <v>45784.402858796297</v>
      </c>
      <c r="C17" t="s">
        <v>40</v>
      </c>
      <c r="D17" t="s">
        <v>30</v>
      </c>
      <c r="E17" t="s">
        <v>37</v>
      </c>
      <c r="F17">
        <v>10</v>
      </c>
      <c r="H17">
        <v>-1</v>
      </c>
      <c r="I17">
        <v>1.5</v>
      </c>
      <c r="J17">
        <v>1.4166861809208799</v>
      </c>
      <c r="K17">
        <v>147.62379999999999</v>
      </c>
      <c r="L17">
        <v>0</v>
      </c>
      <c r="M17">
        <v>15</v>
      </c>
      <c r="N17">
        <v>0</v>
      </c>
      <c r="O17">
        <v>1E-4</v>
      </c>
      <c r="P17">
        <v>0.1476238</v>
      </c>
      <c r="Q17">
        <v>0</v>
      </c>
      <c r="R17">
        <f t="shared" si="1"/>
        <v>14.8523762</v>
      </c>
      <c r="S17">
        <v>14.8523762</v>
      </c>
      <c r="T17">
        <v>748.01237619999995</v>
      </c>
      <c r="U17">
        <v>733.84551438999995</v>
      </c>
      <c r="V17" t="s">
        <v>45</v>
      </c>
      <c r="W17" t="s">
        <v>46</v>
      </c>
    </row>
    <row r="18" spans="1:23" x14ac:dyDescent="0.25">
      <c r="A18">
        <v>70979512</v>
      </c>
      <c r="B18" s="1">
        <v>45784.305659722224</v>
      </c>
      <c r="C18" t="s">
        <v>29</v>
      </c>
      <c r="D18" t="s">
        <v>30</v>
      </c>
      <c r="E18" t="s">
        <v>47</v>
      </c>
      <c r="F18">
        <v>733.16</v>
      </c>
      <c r="H18">
        <v>0</v>
      </c>
      <c r="I18">
        <v>1832.9</v>
      </c>
      <c r="J18">
        <v>1833.1452999999999</v>
      </c>
      <c r="K18">
        <v>1833.1452999999999</v>
      </c>
      <c r="L18">
        <v>0</v>
      </c>
      <c r="M18">
        <v>733.16</v>
      </c>
      <c r="N18">
        <v>0</v>
      </c>
      <c r="O18">
        <v>0</v>
      </c>
      <c r="P18">
        <v>0</v>
      </c>
      <c r="Q18">
        <v>0</v>
      </c>
      <c r="R18">
        <f t="shared" si="1"/>
        <v>733.16</v>
      </c>
      <c r="S18">
        <v>733.16</v>
      </c>
      <c r="T18">
        <v>733.16</v>
      </c>
      <c r="U18">
        <v>733.16</v>
      </c>
      <c r="V18" t="s">
        <v>48</v>
      </c>
      <c r="W18" t="s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usdc-deribit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Liffler</cp:lastModifiedBy>
  <dcterms:created xsi:type="dcterms:W3CDTF">2026-04-27T19:46:47Z</dcterms:created>
  <dcterms:modified xsi:type="dcterms:W3CDTF">2026-04-28T19:28:06Z</dcterms:modified>
</cp:coreProperties>
</file>